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esumo" state="visible" r:id="rId4"/>
    <sheet sheetId="1" name="Relatório de Erros" state="visible" r:id="rId5"/>
    <sheet sheetId="3" name="Módulos do Sistema" state="visible" r:id="rId6"/>
  </sheets>
  <calcPr calcId="171027"/>
</workbook>
</file>

<file path=xl/sharedStrings.xml><?xml version="1.0" encoding="utf-8"?>
<sst xmlns="http://schemas.openxmlformats.org/spreadsheetml/2006/main" count="453" uniqueCount="311">
  <si>
    <t>Relatório de Qualidade UI/UX — PatientPal / ClinicaOS</t>
  </si>
  <si>
    <t>Análise de interatividade, inconsistências, duplicidade e layout · 09/07/2026</t>
  </si>
  <si>
    <t>Totais</t>
  </si>
  <si>
    <t>Total de apontamentos</t>
  </si>
  <si>
    <t>Corrigidos nesta análise</t>
  </si>
  <si>
    <t>Pendentes</t>
  </si>
  <si>
    <t>Por categoria e severidade</t>
  </si>
  <si>
    <t>Categoria</t>
  </si>
  <si>
    <t>Alta</t>
  </si>
  <si>
    <t>Média</t>
  </si>
  <si>
    <t>Baixa</t>
  </si>
  <si>
    <t>Total</t>
  </si>
  <si>
    <t>Interatividade</t>
  </si>
  <si>
    <t>Duplicidade</t>
  </si>
  <si>
    <t>Inconsistência</t>
  </si>
  <si>
    <t>Layout</t>
  </si>
  <si>
    <t>Sintaxe</t>
  </si>
  <si>
    <t>Segurança</t>
  </si>
  <si>
    <t>Regras de Negócio</t>
  </si>
  <si>
    <t>Leitura recomendada</t>
  </si>
  <si>
    <t>1. Aba “Relatório de Erros”: lista completa com severidade, evidência (arquivo:linha), impacto e recomendação. Use os filtros do cabeçalho.</t>
  </si>
  <si>
    <t>2. Aba “Módulos do Sistema”: mapa funcional do sistema e a situação de cada módulo (estável, duplicado v1/v2, dev).</t>
  </si>
  <si>
    <t>3. Itens “Corrigido” já foram resolvidos no código nesta sessão (responsividade e espaçamentos).</t>
  </si>
  <si>
    <t>4. Prioridade sugerida (severidade Alta): 1º segurança — permissão só no menu e segredos expostos no cliente; 2º o confirm() de cancelamento de pacote (cancela agendamento de quem quer desistir); 3º modais/navegação; 4º duplicidade v1/v2.</t>
  </si>
  <si>
    <t>ID</t>
  </si>
  <si>
    <t>Severidade</t>
  </si>
  <si>
    <t>Tela / Área</t>
  </si>
  <si>
    <t>Arquivo (evidência)</t>
  </si>
  <si>
    <t>Problema</t>
  </si>
  <si>
    <t>Impacto para o usuário</t>
  </si>
  <si>
    <t>Recomendação</t>
  </si>
  <si>
    <t>Status</t>
  </si>
  <si>
    <t>Todos os modais do sistema</t>
  </si>
  <si>
    <t>src/components/ui/dialog.tsx:44-46</t>
  </si>
  <si>
    <t>Modais não fecham com ESC nem clicando fora (preventDefault aplicado globalmente no DialogContent)</t>
  </si>
  <si>
    <t>Usuário fica “preso” no modal e só sai pelo X ou pelo botão Cancelar; foge do padrão esperado</t>
  </si>
  <si>
    <t>Remover os preventDefault globais; bloquear fechamento apenas em modais com formulário preenchido</t>
  </si>
  <si>
    <t>Pendente</t>
  </si>
  <si>
    <t>Menu lateral (todas as telas)</t>
  </si>
  <si>
    <t>src/components/app-shell.tsx:618, 649</t>
  </si>
  <si>
    <t>Cada clique no menu usa window.location.assign — recarrega a aplicação inteira em vez de navegar via SPA</t>
  </si>
  <si>
    <t>Navegação lenta (recarrega tudo do zero) e perda de estado de filtros e telas abertas</t>
  </si>
  <si>
    <t>Trocar por Link/navigate do TanStack Router</t>
  </si>
  <si>
    <t>Caixa, Nina e Agenda</t>
  </si>
  <si>
    <t>caixa-shell.tsx:391,400; AtendimentoExtraTabs.tsx:394; app.agenda.tsx:4898</t>
  </si>
  <si>
    <t>Mais 4 pontos com recarga completa de página via window.location</t>
  </si>
  <si>
    <t>Mesmo impacto: lentidão e perda de contexto ao navegar</t>
  </si>
  <si>
    <t>Trocar por navegação do router</t>
  </si>
  <si>
    <t>20+ telas (exclusões e ações em massa)</t>
  </si>
  <si>
    <t>regras-tab.tsx, planos-page.tsx, contratos-page.tsx, app.agenda.tsx, AtendimentoTabs.tsx…</t>
  </si>
  <si>
    <t>Uso de confirm()/alert() nativos do navegador em ~20 pontos, enquanto outras telas usam AlertDialog estilizado</t>
  </si>
  <si>
    <t>Caixas de diálogo cruas, sem identidade visual, que travam a página; experiência desigual entre telas</t>
  </si>
  <si>
    <t>Padronizar todas as confirmações com o AlertDialog do design system</t>
  </si>
  <si>
    <t>Diversos módulos</t>
  </si>
  <si>
    <t>11 blocos “catch {}” vazios em src/</t>
  </si>
  <si>
    <t>Erros engolidos em silêncio, sem toast nem log</t>
  </si>
  <si>
    <t>Ação pode falhar e o usuário acredita que salvou; suporte fica sem rastro do erro</t>
  </si>
  <si>
    <t>Exibir toast de erro e registrar o erro em todos os catch</t>
  </si>
  <si>
    <t>Fluxo, Caixa, Agenda (botões compactos)</t>
  </si>
  <si>
    <t>88 ocorrências de h-6 (24px); 224 de text-[10px]</t>
  </si>
  <si>
    <t>Botões de 24px de altura e fontes de 10px — abaixo do mínimo recomendado de toque (40px+) e de leitura</t>
  </si>
  <si>
    <t>Difícil acertar o clique em tablets/touch (recepção usa touch); legibilidade ruim</t>
  </si>
  <si>
    <t>Elevar mínimo para h-8 e text-xs nos controles interativos</t>
  </si>
  <si>
    <t>Cartão Benefícios — recorte de imagem</t>
  </si>
  <si>
    <t>image-crop-dialog.tsx:181</t>
  </si>
  <si>
    <t>Erro de CORS exibido com alert() nativo</t>
  </si>
  <si>
    <t>Mensagem técnica e fora do padrão visual</t>
  </si>
  <si>
    <t>Exibir a falha como toast ou mensagem inline no dialog</t>
  </si>
  <si>
    <t>Agenda</t>
  </si>
  <si>
    <t>app.agenda.tsx (5.338 linhas) + agenda-v2/* (flag agenda_v2)</t>
  </si>
  <si>
    <t>Duas agendas completas coexistem atrás de feature flag — inclusive lógica de cancelamento de pacote copiada e colada nas duas (agenda-v2-shell.tsx:668 e app.agenda.tsx:2809)</t>
  </si>
  <si>
    <t>Correções feitas numa agenda não valem na outra; usuários diferentes veem comportamentos diferentes</t>
  </si>
  <si>
    <t>Concluir a migração para a v2 e remover a versão antiga</t>
  </si>
  <si>
    <t>Caixa, Orçamentos e Menu</t>
  </si>
  <si>
    <t>app.caixa + caixa-v2; app.orcamentos + orcamentos-v2; app-shell + menu-v2</t>
  </si>
  <si>
    <t>Mais 3 módulos inteiros duplicados em versões v1/v2 sob feature flags (menu v2 só para admin/gestor)</t>
  </si>
  <si>
    <t>Manutenção dobrada e experiência inconsistente entre perfis de usuário</t>
  </si>
  <si>
    <t>Definir prazo de migração e eliminar as versões antigas</t>
  </si>
  <si>
    <t>Barras de KPI</t>
  </si>
  <si>
    <t>agenda-v2/kpi-bar.tsx, caixa-v2/kpi-bar.tsx, clientes-v2/kpi-bar.tsx, orcamentos-v2/kpi-bar.tsx</t>
  </si>
  <si>
    <t>4 implementações diferentes de barra de KPI, duas exportando o mesmo nome “KpiBar”</t>
  </si>
  <si>
    <t>Visual e interação divergentes entre telas equivalentes; risco de import trocado</t>
  </si>
  <si>
    <t>Unificar sobre o design system (HhpKpiRow/HhpKpiCard já existem)</t>
  </si>
  <si>
    <t>Cadastro de pessoas</t>
  </si>
  <si>
    <t>/app/equipe, /app/funcionarios, /app/medicos</t>
  </si>
  <si>
    <t>3 telas distintas e sobrepostas para gestão de pessoas</t>
  </si>
  <si>
    <t>Usuário não sabe onde cadastrar; risco de dados divergentes</t>
  </si>
  <si>
    <t>Consolidar tudo na tela Equipe e redirecionar as demais</t>
  </si>
  <si>
    <t>Sistema (produção)</t>
  </si>
  <si>
    <t>6 rotas /app/dev-* (dev-hhp, dev-caixa-shell, dev-list-shell…)</t>
  </si>
  <si>
    <t>Telas de desenvolvimento/showcase empacotadas no build de produção, protegidas apenas por checagem de role no cliente</t>
  </si>
  <si>
    <t>Peso extra no bundle e telas de teste acessíveis por URL</t>
  </si>
  <si>
    <t>Excluir do build de produção (guard com import.meta.env.DEV)</t>
  </si>
  <si>
    <t>Edição de paciente</t>
  </si>
  <si>
    <t>cliente-form.tsx, editar-paciente-rapido-dialog.tsx, paciente-quick-actions.tsx, rota clientes/editar</t>
  </si>
  <si>
    <t>Edição de dados do paciente espalhada em 4 superfícies com conjuntos de campos diferentes</t>
  </si>
  <si>
    <t>Campo atualizado num lugar não aparece nos outros formulários; comportamento imprevisível</t>
  </si>
  <si>
    <t>Reusar um formulário único (versão completa e compacta do mesmo componente)</t>
  </si>
  <si>
    <t>Altura das telas (7+ telas)</t>
  </si>
  <si>
    <t>h-[calc(100vh-56px)] em agenda-v2, caixa-v2, orcamentos-v2, dev-*; -64px em clientes; -260/-280px na Nina</t>
  </si>
  <si>
    <t>Alturas calculadas com valores mágicos (56px, 64px) dessincronizados do header real de 50px</t>
  </si>
  <si>
    <t>Faixas vazias ou scroll duplo no fim das telas; cada tela “sobra” diferente</t>
  </si>
  <si>
    <t>Centralizar a altura do header numa CSS var (--app-header-h) e usar nos calc</t>
  </si>
  <si>
    <t>Formatação de datas</t>
  </si>
  <si>
    <t>56 usos de toLocaleDateString espalhados + date-fns em apenas 2 arquivos</t>
  </si>
  <si>
    <t>Datas formatadas de duas maneiras diferentes no código</t>
  </si>
  <si>
    <t>Formatos de data podem divergir entre telas (com/sem hora, com/sem ano)</t>
  </si>
  <si>
    <t>Criar helper único de formatação de data/hora e usar em todo o sistema</t>
  </si>
  <si>
    <t>Formulários</t>
  </si>
  <si>
    <t>8 &lt;select&gt; e 7 &lt;input&gt; nativos misturados aos componentes ui/</t>
  </si>
  <si>
    <t>Controles nativos do navegador convivendo com o design system</t>
  </si>
  <si>
    <t>Aparência, foco e comportamento diferentes dentro da mesma tela</t>
  </si>
  <si>
    <t>Substituir por ui/select e ui/input</t>
  </si>
  <si>
    <t>Tema / cores de marca</t>
  </si>
  <si>
    <t>app-shell.tsx:20-42 (corDaClinica, corHoverDaClinica, logoDaClinica) + 6 style com hex</t>
  </si>
  <si>
    <t>Cores e logos das clínicas hardcoded por nome no código, apesar de existir branding.primary no banco</t>
  </si>
  <si>
    <t>Cadastrar nova clínica exige alterar código; cores fixas ignoram o tema</t>
  </si>
  <si>
    <t>Mover cores/logos para o cadastro de clínica (branding) e remover os ifs por nome</t>
  </si>
  <si>
    <t>Tipografia</t>
  </si>
  <si>
    <t>338 ocorrências de text-[9px]/[10px]/[11px]</t>
  </si>
  <si>
    <t>Tamanhos de fonte arbitrários fora da escala do design system</t>
  </si>
  <si>
    <t>Hierarquia visual inconsistente entre telas</t>
  </si>
  <si>
    <t>Padronizar na escala text-xs/text-sm</t>
  </si>
  <si>
    <t>Código</t>
  </si>
  <si>
    <t>23 marcações TODO/FIXME no código</t>
  </si>
  <si>
    <t>Pendências anotadas no código sem rastreamento</t>
  </si>
  <si>
    <t>Funcionalidades incompletas podem ser esquecidas</t>
  </si>
  <si>
    <t>Migrar para issues/backlog e limpar o código</t>
  </si>
  <si>
    <t>Todos os modais</t>
  </si>
  <si>
    <t>ui/dialog.tsx, ui/alert-dialog.tsx</t>
  </si>
  <si>
    <t>Modais sem limite de altura estouravam a viewport (rodapé inacessível) e colavam nas bordas no mobile</t>
  </si>
  <si>
    <t>Botões Salvar/Cancelar ficavam fora da tela em formulários longos</t>
  </si>
  <si>
    <t>Adicionado max-h com scroll interno, margem lateral e padding responsivo</t>
  </si>
  <si>
    <t>Corrigido</t>
  </si>
  <si>
    <t>Header do aplicativo</t>
  </si>
  <si>
    <t>app-shell.tsx:670-755</t>
  </si>
  <si>
    <t>Header estourava no mobile: seletor de clínica com 260px fixos + logo + nome + busca</t>
  </si>
  <si>
    <t>Elementos cortados e scroll horizontal em telas pequenas</t>
  </si>
  <si>
    <t>Larguras responsivas e ocultação progressiva de elementos secundários</t>
  </si>
  <si>
    <t>~30 telas de cadastro/filtros</t>
  </si>
  <si>
    <t>45 grids “grid-cols-3+” sem breakpoints (estoque, procedimentos, NFS-e, CRM, portal do paciente…)</t>
  </si>
  <si>
    <t>Formulários de 3-4 colunas fixas esmagavam os campos no mobile; filhos col-span-2 vazavam do card</t>
  </si>
  <si>
    <t>Campos ilegíveis e layout quebrado em telas pequenas</t>
  </si>
  <si>
    <t>Convertidos para grid-cols-1 sm:grid-cols-N com col-span responsivo</t>
  </si>
  <si>
    <t>Fluxo do paciente (kanban)</t>
  </si>
  <si>
    <t>app.fluxo.tsx:349</t>
  </si>
  <si>
    <t>Kanban com 7 colunas fixas, ilegível fora de monitores largos</t>
  </si>
  <si>
    <t>Colunas espremidas em notebooks e tablets</t>
  </si>
  <si>
    <t>Escala responsiva 2 → 3 → 4 → 7 colunas</t>
  </si>
  <si>
    <t>Cadastro de cliente (7 abas)</t>
  </si>
  <si>
    <t>cliente-form.tsx:815</t>
  </si>
  <si>
    <t>Barra com 7 abas em grid fixo espremia os rótulos no mobile</t>
  </si>
  <si>
    <t>Abas ilegíveis/intocáveis em telas pequenas</t>
  </si>
  <si>
    <t>Abas quebram linha no mobile e mantêm grid no desktop</t>
  </si>
  <si>
    <t>Nina — WhatsApp</t>
  </si>
  <si>
    <t>app.nina.tsx:995, 1009</t>
  </si>
  <si>
    <t>Colunas laterais fixas (w-[300px]/w-[320px]) sem colapso em telas pequenas</t>
  </si>
  <si>
    <t>Área de conversa fica inutilizável no mobile</t>
  </si>
  <si>
    <t>Colapsar/empilhar colunas com breakpoints ou drawer</t>
  </si>
  <si>
    <t>Nina — Atendimento (inbox)</t>
  </si>
  <si>
    <t>AtendimentoExtraTabs.tsx:312</t>
  </si>
  <si>
    <t>Grade com h-[calc(100vh-260px)] e min-h-[520px] fixos</t>
  </si>
  <si>
    <t>Conteúdo cortado em notebooks de tela baixa (768px)</t>
  </si>
  <si>
    <t>Usar flex-1 com min-h fluido em vez de altura calculada</t>
  </si>
  <si>
    <t>Popovers da agenda</t>
  </si>
  <si>
    <t>procedimento-cell.tsx:98 (w-[340px]); cid10-picker.tsx:36 (w-[420px])</t>
  </si>
  <si>
    <t>Popovers com largura fixa maior que a tela de celulares pequenos</t>
  </si>
  <si>
    <t>Conteúdo do popover cortado nas bordas</t>
  </si>
  <si>
    <t>Adicionar max-w-[calc(100vw-2rem)]</t>
  </si>
  <si>
    <t>Médicos, HR Contratos, Orçamentos, Atendimento IA</t>
  </si>
  <si>
    <t>app.medicos.tsx:74,82; app.medico.$medicoId.tsx:95,108; app.hr-contratos.tsx:89,114; app.orcamentos.tsx:363; app.atendimento-ia.index.tsx:230</t>
  </si>
  <si>
    <t>8 erros de TypeScript: navegações/Links para rotas com validateSearch obrigatório chamados sem o parâmetro search</t>
  </si>
  <si>
    <t>Typecheck do projeto não passa; links podem navegar sem os parâmetros que a tela espera (dialogs de novo/editar podem não abrir)</t>
  </si>
  <si>
    <t>Tornar new/edit opcionais no validateSearch ou passar search:{} nas navegações; corrigir os 8 pontos</t>
  </si>
  <si>
    <t>Pipeline de build</t>
  </si>
  <si>
    <t>package.json (scripts)</t>
  </si>
  <si>
    <t>Não existe script de typecheck e o build (vite) não roda o tsc — os erros acima passam despercebidos</t>
  </si>
  <si>
    <t>Erros de tipo chegam a produção sem nenhuma barreira automática</t>
  </si>
  <si>
    <t>Adicionar script "typecheck": "tsc --noEmit" e executá-lo no CI antes do build</t>
  </si>
  <si>
    <t>Todas as rotas /app/*</t>
  </si>
  <si>
    <t>_authenticated.tsx (só valida sessão); usePermissoes usado apenas no menu (app-shell.tsx)</t>
  </si>
  <si>
    <t>O controle de permissão por módulo apenas esconde itens do menu — nenhuma rota valida permissão ao carregar</t>
  </si>
  <si>
    <t>Qualquer usuário logado acessa qualquer tela digitando a URL (ex.: recepção abrindo /app/financeiro ou /app/auditoria); a proteção real depende só das políticas RLS do banco</t>
  </si>
  <si>
    <t>Validar a permissão do módulo no beforeLoad das rotas e revisar as políticas RLS tabela a tabela</t>
  </si>
  <si>
    <t>Segredos de integração</t>
  </si>
  <si>
    <t>app.integration-secrets.tsx:19-20</t>
  </si>
  <si>
    <t>API keys de integrações são lidas e exibidas direto da tabela no navegador (select de id, chave, valor)</t>
  </si>
  <si>
    <t>Chaves secretas trafegam até o cliente; um vazamento compromete as integrações (LiveKit etc.)</t>
  </si>
  <si>
    <t>Manter segredos apenas no backend (Vault/edge functions) e nunca retornar o valor ao front — só gravar/rotacionar</t>
  </si>
  <si>
    <t>Autorização de supervisor</t>
  </si>
  <si>
    <t>supervisor-auth-dialog.tsx:42-68</t>
  </si>
  <si>
    <t>A autorização faz signInWithPassword com a senha do supervisor no dispositivo do operador e valida o papel no cliente, trocando a sessão temporariamente</t>
  </si>
  <si>
    <t>Senha do supervisor digitada em máquina de terceiros; a checagem pode ser contornada pelo console do navegador</t>
  </si>
  <si>
    <t>Validar via função no servidor (RPC) que confere credencial + papel e registra auditoria, sem trocar a sessão local</t>
  </si>
  <si>
    <t>LGPD — biometria facial</t>
  </si>
  <si>
    <t>face_descriptor em cliente-form, contratos-page, FaceCaptureDialog, check-in</t>
  </si>
  <si>
    <t>Descritores biométricos faciais (dado sensível — LGPD art. 5º, II) circulam e são comparados no navegador</t>
  </si>
  <si>
    <t>Exposição de dado sensível amplia o risco legal; exige consentimento explícito e minimização</t>
  </si>
  <si>
    <t>Restringir acesso à coluna, fazer o matching no servidor e revisar consentimento/retenção (a exclusão LGPD já existe — ponto positivo)</t>
  </si>
  <si>
    <t>Conteúdo HTML dinâmico</t>
  </si>
  <si>
    <t>contratos-page.tsx:2047, 2371; lp.$slug.tsx:111</t>
  </si>
  <si>
    <t>Os 3 usos de dangerouslySetInnerHTML estão sanitizados com DOMPurify (ponto positivo), mas a proteção depende de manter esse padrão</t>
  </si>
  <si>
    <t>Um novo uso sem DOMPurify abriria brecha de XSS em contratos e landing pages</t>
  </si>
  <si>
    <t>Ativar a regra de lint react/no-danger como erro e revisar novos usos em code review</t>
  </si>
  <si>
    <t>Agenda — cancelamento de pacote</t>
  </si>
  <si>
    <t>app.agenda.tsx:2809; agenda-v2-shell.tsx:667-668</t>
  </si>
  <si>
    <t>O confirm() que decide entre cancelar TODOS os itens do pacote (OK) ou APENAS este (Cancelar) não tem opção de desistir da operação</t>
  </si>
  <si>
    <t>Usuário que quer abortar clica em “Cancelar” e o agendamento é cancelado mesmo assim — perda real de agendamentos do paciente</t>
  </si>
  <si>
    <t>Trocar por dialog com 3 ações explícitas: “Cancelar todos” / “Apenas este” / “Voltar”</t>
  </si>
  <si>
    <t>Financeiro / Repasse médico</t>
  </si>
  <si>
    <t>MedicoFormDialog.tsx:478, 585; regras-tab.tsx:390 (+11 pontos com *100 e /100)</t>
  </si>
  <si>
    <t>Valores monetários calculados com parseFloat e aritmética de ponto flutuante</t>
  </si>
  <si>
    <t>Arredondamentos incorretos em repasse médico e regras de preço (clássico 0.1+0.2 ≠ 0.3); centavos podem divergir do caixa</t>
  </si>
  <si>
    <t>Padronizar valores em centavos inteiros (ou utilitário decimal único) em todo o fluxo financeiro</t>
  </si>
  <si>
    <t>Datas no financeiro e agenda</t>
  </si>
  <si>
    <t>28 ocorrências de new Date(campo_data) — financeiro.atendimentos.tsx:1412-1820, alertas, lembretes, cliente-form</t>
  </si>
  <si>
    <t>Datas “YYYY-MM-DD” vindas do banco são interpretadas como UTC ao criar o Date</t>
  </si>
  <si>
    <t>Vencimentos, alertas, lembretes e aniversários podem aparecer um dia antes no fuso do Brasil (UTC-3)</t>
  </si>
  <si>
    <t>Criar helper único que trate data-sem-hora como data local e substituir os 28 pontos</t>
  </si>
  <si>
    <t>Permissões — regra padrão ambígua</t>
  </si>
  <si>
    <t>app-shell.tsx:126-131 (leafAllowed / ROUTE_TO_MODULE)</t>
  </si>
  <si>
    <t>Rota não mapeada em ROUTE_TO_MODULE some do menu por padrão, mas continua acessível por URL; o menu v2 tem catálogo próprio e pode divergir</t>
  </si>
  <si>
    <t>Telas novas “desaparecem” do menu sem explicação e a regra de acesso fica ambígua entre menu, URL e banco</t>
  </si>
  <si>
    <t>Fonte única de verdade módulo×rota compartilhada pelo menu (v1 e v2) e pelo guard de rota</t>
  </si>
  <si>
    <t>Módulo</t>
  </si>
  <si>
    <t>Rota principal</t>
  </si>
  <si>
    <t>Função</t>
  </si>
  <si>
    <t>Situação</t>
  </si>
  <si>
    <t>Observação</t>
  </si>
  <si>
    <t>/app/agenda</t>
  </si>
  <si>
    <t>Agendamento de consultas e horários médicos</t>
  </si>
  <si>
    <t>Duplicado (v1 + v2 por flag)</t>
  </si>
  <si>
    <t>v1 com 5.338 linhas em um único arquivo; v2 atrás da flag agenda_v2</t>
  </si>
  <si>
    <t>Agenda Express</t>
  </si>
  <si>
    <t>/app/agenda/express</t>
  </si>
  <si>
    <t>Agendamento rápido simplificado</t>
  </si>
  <si>
    <t>Estável</t>
  </si>
  <si>
    <t/>
  </si>
  <si>
    <t>Check-in</t>
  </si>
  <si>
    <t>/app/checkin</t>
  </si>
  <si>
    <t>Chegada do paciente na recepção</t>
  </si>
  <si>
    <t>Caixa</t>
  </si>
  <si>
    <t>/app/caixa</t>
  </si>
  <si>
    <t>Recebimentos e fechamento de caixa</t>
  </si>
  <si>
    <t>Botões da v2 recarregam a página ao voltar para a v1</t>
  </si>
  <si>
    <t>Fluxo do paciente</t>
  </si>
  <si>
    <t>/app/fluxo</t>
  </si>
  <si>
    <t>Kanban das etapas do atendimento</t>
  </si>
  <si>
    <t>Kanban de 7 colunas corrigido para escala responsiva</t>
  </si>
  <si>
    <t>Clientes / Pacientes</t>
  </si>
  <si>
    <t>/app/clientes</t>
  </si>
  <si>
    <t>Cadastro e gestão de pacientes</t>
  </si>
  <si>
    <t>Duplicado (shell v2 em dev)</t>
  </si>
  <si>
    <t>Edição de paciente espalhada em 4 componentes diferentes</t>
  </si>
  <si>
    <t>Orçamentos</t>
  </si>
  <si>
    <t>/app/orcamentos</t>
  </si>
  <si>
    <t>Criação e conversão de orçamentos</t>
  </si>
  <si>
    <t>Recepção / Filas</t>
  </si>
  <si>
    <t>/app/recepcao</t>
  </si>
  <si>
    <t>Gestão de filas de espera</t>
  </si>
  <si>
    <t>Triagem Enfermagem</t>
  </si>
  <si>
    <t>/app/triagem-enfermagem</t>
  </si>
  <si>
    <t>Triagem e sinais vitais</t>
  </si>
  <si>
    <t>Cartão Benefícios</t>
  </si>
  <si>
    <t>/app/cartao-beneficios/*</t>
  </si>
  <si>
    <t>Planos, contratos, convênios e dependentes</t>
  </si>
  <si>
    <t>Vários confirm() nativos; tabela de regras de 1400px (tem scroll)</t>
  </si>
  <si>
    <t>Atendimento médico (IA)</t>
  </si>
  <si>
    <t>/app/atendimento-ia</t>
  </si>
  <si>
    <t>Prontuário assistido por IA</t>
  </si>
  <si>
    <t>/app/nina</t>
  </si>
  <si>
    <t>Atendimento automatizado e inbox WhatsApp</t>
  </si>
  <si>
    <t>14 sub-telas numa única rota via hash; colunas fixas sem versão mobile</t>
  </si>
  <si>
    <t>CRM / Marketing</t>
  </si>
  <si>
    <t>/app/crm, /app/mkt-*</t>
  </si>
  <si>
    <t>Leads, campanhas, envios e landing pages</t>
  </si>
  <si>
    <t>Financeiro</t>
  </si>
  <si>
    <t>/app/financeiro/*</t>
  </si>
  <si>
    <t>Contas, movimento, notas, BI e repasse médico</t>
  </si>
  <si>
    <t>14 sub-rotas; maior módulo do sistema</t>
  </si>
  <si>
    <t>Equipe</t>
  </si>
  <si>
    <t>/app/equipe</t>
  </si>
  <si>
    <t>Gestão de médicos, enfermeiros e funcionários</t>
  </si>
  <si>
    <t>Sobreposto</t>
  </si>
  <si>
    <t>Concorre com /app/funcionarios e /app/medicos</t>
  </si>
  <si>
    <t>RH</t>
  </si>
  <si>
    <t>/app/hr-*</t>
  </si>
  <si>
    <t>Ponto, contratos, férias e holerites</t>
  </si>
  <si>
    <t>Relatórios / BI</t>
  </si>
  <si>
    <t>/app/relatorios, /app/painel-executivo</t>
  </si>
  <si>
    <t>Dashboards e cubo BI</t>
  </si>
  <si>
    <t>Segurança &amp; Compliance</t>
  </si>
  <si>
    <t>/app/auditoria, /app/lgpd, /app/perfis</t>
  </si>
  <si>
    <t>Auditoria, LGPD e perfis de acesso</t>
  </si>
  <si>
    <t>Portal do Paciente</t>
  </si>
  <si>
    <t>/paciente/*, /p/$token</t>
  </si>
  <si>
    <t>Área pública do paciente (mobile-first)</t>
  </si>
  <si>
    <t>Grids corrigidos para mobile nesta análise</t>
  </si>
  <si>
    <t>Totem / Autoatendimento</t>
  </si>
  <si>
    <t>/totem, /autoatendimento</t>
  </si>
  <si>
    <t>Check-in em quiosque</t>
  </si>
  <si>
    <t>Larguras fixas aceitáveis (uso em quiosque)</t>
  </si>
  <si>
    <t>Menu / Shell</t>
  </si>
  <si>
    <t>(todas as telas)</t>
  </si>
  <si>
    <t>Navegação, permissões e troca de clínica</t>
  </si>
  <si>
    <t>Menu v2 só admin/gestor; links do v1 recarregam a página</t>
  </si>
  <si>
    <t>Telas dev-*</t>
  </si>
  <si>
    <t>/app/dev-*</t>
  </si>
  <si>
    <t>Showcases internos de desenvolvimento</t>
  </si>
  <si>
    <t>Não deveria ir a produção</t>
  </si>
  <si>
    <t>6 rotas no bundle de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</si>
</sst>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FF666666"/>
      <sz val="10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b/>
      <color rgb="FF9C0006"/>
      <sz val="10"/>
      <name val="Arial"/>
    </font>
    <font>
      <b/>
      <color rgb="FF0061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CBCB"/>
      </patternFill>
    </fill>
    <fill>
      <patternFill patternType="solid">
        <fgColor rgb="FFFFE8B3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11" customWidth="1"/>
    <col min="4" max="4" width="27" customWidth="1"/>
    <col min="5" max="5" width="40" customWidth="1"/>
    <col min="6" max="6" width="54" customWidth="1"/>
    <col min="7" max="8" width="48" customWidth="1"/>
    <col min="9" max="9" width="11" customWidth="1"/>
  </cols>
  <sheetData>
    <row r="1" ht="24" customHeight="1" spans="1:9" x14ac:dyDescent="0.25">
      <c r="A1" s="11" t="s">
        <v>24</v>
      </c>
      <c r="B1" s="11" t="s">
        <v>7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29</v>
      </c>
      <c r="H1" s="11" t="s">
        <v>30</v>
      </c>
      <c r="I1" s="11" t="s">
        <v>31</v>
      </c>
    </row>
    <row r="2" spans="1:9" x14ac:dyDescent="0.25">
      <c r="A2" s="12">
        <v>1</v>
      </c>
      <c r="B2" s="13" t="s">
        <v>12</v>
      </c>
      <c r="C2" s="14" t="s">
        <v>8</v>
      </c>
      <c r="D2" s="13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5" t="s">
        <v>37</v>
      </c>
    </row>
    <row r="3" spans="1:9" x14ac:dyDescent="0.25">
      <c r="A3" s="12">
        <v>2</v>
      </c>
      <c r="B3" s="13" t="s">
        <v>12</v>
      </c>
      <c r="C3" s="14" t="s">
        <v>8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5" t="s">
        <v>37</v>
      </c>
    </row>
    <row r="4" spans="1:9" x14ac:dyDescent="0.25">
      <c r="A4" s="12">
        <v>3</v>
      </c>
      <c r="B4" s="13" t="s">
        <v>12</v>
      </c>
      <c r="C4" s="16" t="s">
        <v>9</v>
      </c>
      <c r="D4" s="13" t="s">
        <v>43</v>
      </c>
      <c r="E4" s="13" t="s">
        <v>44</v>
      </c>
      <c r="F4" s="13" t="s">
        <v>45</v>
      </c>
      <c r="G4" s="13" t="s">
        <v>46</v>
      </c>
      <c r="H4" s="13" t="s">
        <v>47</v>
      </c>
      <c r="I4" s="15" t="s">
        <v>37</v>
      </c>
    </row>
    <row r="5" spans="1:9" x14ac:dyDescent="0.25">
      <c r="A5" s="12">
        <v>4</v>
      </c>
      <c r="B5" s="13" t="s">
        <v>12</v>
      </c>
      <c r="C5" s="16" t="s">
        <v>9</v>
      </c>
      <c r="D5" s="13" t="s">
        <v>48</v>
      </c>
      <c r="E5" s="13" t="s">
        <v>49</v>
      </c>
      <c r="F5" s="13" t="s">
        <v>50</v>
      </c>
      <c r="G5" s="13" t="s">
        <v>51</v>
      </c>
      <c r="H5" s="13" t="s">
        <v>52</v>
      </c>
      <c r="I5" s="15" t="s">
        <v>37</v>
      </c>
    </row>
    <row r="6" spans="1:9" x14ac:dyDescent="0.25">
      <c r="A6" s="12">
        <v>5</v>
      </c>
      <c r="B6" s="13" t="s">
        <v>12</v>
      </c>
      <c r="C6" s="16" t="s">
        <v>9</v>
      </c>
      <c r="D6" s="13" t="s">
        <v>53</v>
      </c>
      <c r="E6" s="13" t="s">
        <v>54</v>
      </c>
      <c r="F6" s="13" t="s">
        <v>55</v>
      </c>
      <c r="G6" s="13" t="s">
        <v>56</v>
      </c>
      <c r="H6" s="13" t="s">
        <v>57</v>
      </c>
      <c r="I6" s="15" t="s">
        <v>37</v>
      </c>
    </row>
    <row r="7" spans="1:9" x14ac:dyDescent="0.25">
      <c r="A7" s="12">
        <v>6</v>
      </c>
      <c r="B7" s="13" t="s">
        <v>12</v>
      </c>
      <c r="C7" s="16" t="s">
        <v>9</v>
      </c>
      <c r="D7" s="13" t="s">
        <v>58</v>
      </c>
      <c r="E7" s="13" t="s">
        <v>59</v>
      </c>
      <c r="F7" s="13" t="s">
        <v>60</v>
      </c>
      <c r="G7" s="13" t="s">
        <v>61</v>
      </c>
      <c r="H7" s="13" t="s">
        <v>62</v>
      </c>
      <c r="I7" s="15" t="s">
        <v>37</v>
      </c>
    </row>
    <row r="8" spans="1:9" x14ac:dyDescent="0.25">
      <c r="A8" s="12">
        <v>7</v>
      </c>
      <c r="B8" s="13" t="s">
        <v>12</v>
      </c>
      <c r="C8" s="17" t="s">
        <v>10</v>
      </c>
      <c r="D8" s="13" t="s">
        <v>63</v>
      </c>
      <c r="E8" s="13" t="s">
        <v>64</v>
      </c>
      <c r="F8" s="13" t="s">
        <v>65</v>
      </c>
      <c r="G8" s="13" t="s">
        <v>66</v>
      </c>
      <c r="H8" s="13" t="s">
        <v>67</v>
      </c>
      <c r="I8" s="15" t="s">
        <v>37</v>
      </c>
    </row>
    <row r="9" spans="1:9" x14ac:dyDescent="0.25">
      <c r="A9" s="12">
        <v>8</v>
      </c>
      <c r="B9" s="13" t="s">
        <v>13</v>
      </c>
      <c r="C9" s="14" t="s">
        <v>8</v>
      </c>
      <c r="D9" s="13" t="s">
        <v>68</v>
      </c>
      <c r="E9" s="13" t="s">
        <v>69</v>
      </c>
      <c r="F9" s="13" t="s">
        <v>70</v>
      </c>
      <c r="G9" s="13" t="s">
        <v>71</v>
      </c>
      <c r="H9" s="13" t="s">
        <v>72</v>
      </c>
      <c r="I9" s="15" t="s">
        <v>37</v>
      </c>
    </row>
    <row r="10" spans="1:9" x14ac:dyDescent="0.25">
      <c r="A10" s="12">
        <v>9</v>
      </c>
      <c r="B10" s="13" t="s">
        <v>13</v>
      </c>
      <c r="C10" s="14" t="s">
        <v>8</v>
      </c>
      <c r="D10" s="13" t="s">
        <v>73</v>
      </c>
      <c r="E10" s="13" t="s">
        <v>74</v>
      </c>
      <c r="F10" s="13" t="s">
        <v>75</v>
      </c>
      <c r="G10" s="13" t="s">
        <v>76</v>
      </c>
      <c r="H10" s="13" t="s">
        <v>77</v>
      </c>
      <c r="I10" s="15" t="s">
        <v>37</v>
      </c>
    </row>
    <row r="11" spans="1:9" x14ac:dyDescent="0.25">
      <c r="A11" s="12">
        <v>10</v>
      </c>
      <c r="B11" s="13" t="s">
        <v>13</v>
      </c>
      <c r="C11" s="16" t="s">
        <v>9</v>
      </c>
      <c r="D11" s="13" t="s">
        <v>78</v>
      </c>
      <c r="E11" s="13" t="s">
        <v>79</v>
      </c>
      <c r="F11" s="13" t="s">
        <v>80</v>
      </c>
      <c r="G11" s="13" t="s">
        <v>81</v>
      </c>
      <c r="H11" s="13" t="s">
        <v>82</v>
      </c>
      <c r="I11" s="15" t="s">
        <v>37</v>
      </c>
    </row>
    <row r="12" spans="1:9" x14ac:dyDescent="0.25">
      <c r="A12" s="12">
        <v>11</v>
      </c>
      <c r="B12" s="13" t="s">
        <v>13</v>
      </c>
      <c r="C12" s="16" t="s">
        <v>9</v>
      </c>
      <c r="D12" s="13" t="s">
        <v>83</v>
      </c>
      <c r="E12" s="13" t="s">
        <v>84</v>
      </c>
      <c r="F12" s="13" t="s">
        <v>85</v>
      </c>
      <c r="G12" s="13" t="s">
        <v>86</v>
      </c>
      <c r="H12" s="13" t="s">
        <v>87</v>
      </c>
      <c r="I12" s="15" t="s">
        <v>37</v>
      </c>
    </row>
    <row r="13" spans="1:9" x14ac:dyDescent="0.25">
      <c r="A13" s="12">
        <v>12</v>
      </c>
      <c r="B13" s="13" t="s">
        <v>13</v>
      </c>
      <c r="C13" s="16" t="s">
        <v>9</v>
      </c>
      <c r="D13" s="13" t="s">
        <v>88</v>
      </c>
      <c r="E13" s="13" t="s">
        <v>89</v>
      </c>
      <c r="F13" s="13" t="s">
        <v>90</v>
      </c>
      <c r="G13" s="13" t="s">
        <v>91</v>
      </c>
      <c r="H13" s="13" t="s">
        <v>92</v>
      </c>
      <c r="I13" s="15" t="s">
        <v>37</v>
      </c>
    </row>
    <row r="14" spans="1:9" x14ac:dyDescent="0.25">
      <c r="A14" s="12">
        <v>13</v>
      </c>
      <c r="B14" s="13" t="s">
        <v>13</v>
      </c>
      <c r="C14" s="17" t="s">
        <v>10</v>
      </c>
      <c r="D14" s="13" t="s">
        <v>93</v>
      </c>
      <c r="E14" s="13" t="s">
        <v>94</v>
      </c>
      <c r="F14" s="13" t="s">
        <v>95</v>
      </c>
      <c r="G14" s="13" t="s">
        <v>96</v>
      </c>
      <c r="H14" s="13" t="s">
        <v>97</v>
      </c>
      <c r="I14" s="15" t="s">
        <v>37</v>
      </c>
    </row>
    <row r="15" spans="1:9" x14ac:dyDescent="0.25">
      <c r="A15" s="12">
        <v>14</v>
      </c>
      <c r="B15" s="13" t="s">
        <v>14</v>
      </c>
      <c r="C15" s="14" t="s">
        <v>8</v>
      </c>
      <c r="D15" s="13" t="s">
        <v>98</v>
      </c>
      <c r="E15" s="13" t="s">
        <v>99</v>
      </c>
      <c r="F15" s="13" t="s">
        <v>100</v>
      </c>
      <c r="G15" s="13" t="s">
        <v>101</v>
      </c>
      <c r="H15" s="13" t="s">
        <v>102</v>
      </c>
      <c r="I15" s="15" t="s">
        <v>37</v>
      </c>
    </row>
    <row r="16" spans="1:9" x14ac:dyDescent="0.25">
      <c r="A16" s="12">
        <v>15</v>
      </c>
      <c r="B16" s="13" t="s">
        <v>14</v>
      </c>
      <c r="C16" s="16" t="s">
        <v>9</v>
      </c>
      <c r="D16" s="13" t="s">
        <v>103</v>
      </c>
      <c r="E16" s="13" t="s">
        <v>104</v>
      </c>
      <c r="F16" s="13" t="s">
        <v>105</v>
      </c>
      <c r="G16" s="13" t="s">
        <v>106</v>
      </c>
      <c r="H16" s="13" t="s">
        <v>107</v>
      </c>
      <c r="I16" s="15" t="s">
        <v>37</v>
      </c>
    </row>
    <row r="17" spans="1:9" x14ac:dyDescent="0.25">
      <c r="A17" s="12">
        <v>16</v>
      </c>
      <c r="B17" s="13" t="s">
        <v>14</v>
      </c>
      <c r="C17" s="16" t="s">
        <v>9</v>
      </c>
      <c r="D17" s="13" t="s">
        <v>108</v>
      </c>
      <c r="E17" s="13" t="s">
        <v>109</v>
      </c>
      <c r="F17" s="13" t="s">
        <v>110</v>
      </c>
      <c r="G17" s="13" t="s">
        <v>111</v>
      </c>
      <c r="H17" s="13" t="s">
        <v>112</v>
      </c>
      <c r="I17" s="15" t="s">
        <v>37</v>
      </c>
    </row>
    <row r="18" spans="1:9" x14ac:dyDescent="0.25">
      <c r="A18" s="12">
        <v>17</v>
      </c>
      <c r="B18" s="13" t="s">
        <v>14</v>
      </c>
      <c r="C18" s="16" t="s">
        <v>9</v>
      </c>
      <c r="D18" s="13" t="s">
        <v>113</v>
      </c>
      <c r="E18" s="13" t="s">
        <v>114</v>
      </c>
      <c r="F18" s="13" t="s">
        <v>115</v>
      </c>
      <c r="G18" s="13" t="s">
        <v>116</v>
      </c>
      <c r="H18" s="13" t="s">
        <v>117</v>
      </c>
      <c r="I18" s="15" t="s">
        <v>37</v>
      </c>
    </row>
    <row r="19" spans="1:9" x14ac:dyDescent="0.25">
      <c r="A19" s="12">
        <v>18</v>
      </c>
      <c r="B19" s="13" t="s">
        <v>14</v>
      </c>
      <c r="C19" s="17" t="s">
        <v>10</v>
      </c>
      <c r="D19" s="13" t="s">
        <v>118</v>
      </c>
      <c r="E19" s="13" t="s">
        <v>119</v>
      </c>
      <c r="F19" s="13" t="s">
        <v>120</v>
      </c>
      <c r="G19" s="13" t="s">
        <v>121</v>
      </c>
      <c r="H19" s="13" t="s">
        <v>122</v>
      </c>
      <c r="I19" s="15" t="s">
        <v>37</v>
      </c>
    </row>
    <row r="20" spans="1:9" x14ac:dyDescent="0.25">
      <c r="A20" s="12">
        <v>19</v>
      </c>
      <c r="B20" s="13" t="s">
        <v>14</v>
      </c>
      <c r="C20" s="17" t="s">
        <v>10</v>
      </c>
      <c r="D20" s="13" t="s">
        <v>123</v>
      </c>
      <c r="E20" s="13" t="s">
        <v>124</v>
      </c>
      <c r="F20" s="13" t="s">
        <v>125</v>
      </c>
      <c r="G20" s="13" t="s">
        <v>126</v>
      </c>
      <c r="H20" s="13" t="s">
        <v>127</v>
      </c>
      <c r="I20" s="15" t="s">
        <v>37</v>
      </c>
    </row>
    <row r="21" spans="1:9" x14ac:dyDescent="0.25">
      <c r="A21" s="12">
        <v>20</v>
      </c>
      <c r="B21" s="13" t="s">
        <v>15</v>
      </c>
      <c r="C21" s="14" t="s">
        <v>8</v>
      </c>
      <c r="D21" s="13" t="s">
        <v>128</v>
      </c>
      <c r="E21" s="13" t="s">
        <v>129</v>
      </c>
      <c r="F21" s="13" t="s">
        <v>130</v>
      </c>
      <c r="G21" s="13" t="s">
        <v>131</v>
      </c>
      <c r="H21" s="13" t="s">
        <v>132</v>
      </c>
      <c r="I21" s="18" t="s">
        <v>133</v>
      </c>
    </row>
    <row r="22" spans="1:9" x14ac:dyDescent="0.25">
      <c r="A22" s="12">
        <v>21</v>
      </c>
      <c r="B22" s="13" t="s">
        <v>15</v>
      </c>
      <c r="C22" s="14" t="s">
        <v>8</v>
      </c>
      <c r="D22" s="13" t="s">
        <v>134</v>
      </c>
      <c r="E22" s="13" t="s">
        <v>135</v>
      </c>
      <c r="F22" s="13" t="s">
        <v>136</v>
      </c>
      <c r="G22" s="13" t="s">
        <v>137</v>
      </c>
      <c r="H22" s="13" t="s">
        <v>138</v>
      </c>
      <c r="I22" s="18" t="s">
        <v>133</v>
      </c>
    </row>
    <row r="23" spans="1:9" x14ac:dyDescent="0.25">
      <c r="A23" s="12">
        <v>22</v>
      </c>
      <c r="B23" s="13" t="s">
        <v>15</v>
      </c>
      <c r="C23" s="14" t="s">
        <v>8</v>
      </c>
      <c r="D23" s="13" t="s">
        <v>139</v>
      </c>
      <c r="E23" s="13" t="s">
        <v>140</v>
      </c>
      <c r="F23" s="13" t="s">
        <v>141</v>
      </c>
      <c r="G23" s="13" t="s">
        <v>142</v>
      </c>
      <c r="H23" s="13" t="s">
        <v>143</v>
      </c>
      <c r="I23" s="18" t="s">
        <v>133</v>
      </c>
    </row>
    <row r="24" spans="1:9" x14ac:dyDescent="0.25">
      <c r="A24" s="12">
        <v>23</v>
      </c>
      <c r="B24" s="13" t="s">
        <v>15</v>
      </c>
      <c r="C24" s="16" t="s">
        <v>9</v>
      </c>
      <c r="D24" s="13" t="s">
        <v>144</v>
      </c>
      <c r="E24" s="13" t="s">
        <v>145</v>
      </c>
      <c r="F24" s="13" t="s">
        <v>146</v>
      </c>
      <c r="G24" s="13" t="s">
        <v>147</v>
      </c>
      <c r="H24" s="13" t="s">
        <v>148</v>
      </c>
      <c r="I24" s="18" t="s">
        <v>133</v>
      </c>
    </row>
    <row r="25" spans="1:9" x14ac:dyDescent="0.25">
      <c r="A25" s="12">
        <v>24</v>
      </c>
      <c r="B25" s="13" t="s">
        <v>15</v>
      </c>
      <c r="C25" s="16" t="s">
        <v>9</v>
      </c>
      <c r="D25" s="13" t="s">
        <v>149</v>
      </c>
      <c r="E25" s="13" t="s">
        <v>150</v>
      </c>
      <c r="F25" s="13" t="s">
        <v>151</v>
      </c>
      <c r="G25" s="13" t="s">
        <v>152</v>
      </c>
      <c r="H25" s="13" t="s">
        <v>153</v>
      </c>
      <c r="I25" s="18" t="s">
        <v>133</v>
      </c>
    </row>
    <row r="26" spans="1:9" x14ac:dyDescent="0.25">
      <c r="A26" s="12">
        <v>25</v>
      </c>
      <c r="B26" s="13" t="s">
        <v>15</v>
      </c>
      <c r="C26" s="16" t="s">
        <v>9</v>
      </c>
      <c r="D26" s="13" t="s">
        <v>154</v>
      </c>
      <c r="E26" s="13" t="s">
        <v>155</v>
      </c>
      <c r="F26" s="13" t="s">
        <v>156</v>
      </c>
      <c r="G26" s="13" t="s">
        <v>157</v>
      </c>
      <c r="H26" s="13" t="s">
        <v>158</v>
      </c>
      <c r="I26" s="15" t="s">
        <v>37</v>
      </c>
    </row>
    <row r="27" spans="1:9" x14ac:dyDescent="0.25">
      <c r="A27" s="12">
        <v>26</v>
      </c>
      <c r="B27" s="13" t="s">
        <v>15</v>
      </c>
      <c r="C27" s="16" t="s">
        <v>9</v>
      </c>
      <c r="D27" s="13" t="s">
        <v>159</v>
      </c>
      <c r="E27" s="13" t="s">
        <v>160</v>
      </c>
      <c r="F27" s="13" t="s">
        <v>161</v>
      </c>
      <c r="G27" s="13" t="s">
        <v>162</v>
      </c>
      <c r="H27" s="13" t="s">
        <v>163</v>
      </c>
      <c r="I27" s="15" t="s">
        <v>37</v>
      </c>
    </row>
    <row r="28" spans="1:9" x14ac:dyDescent="0.25">
      <c r="A28" s="12">
        <v>27</v>
      </c>
      <c r="B28" s="13" t="s">
        <v>15</v>
      </c>
      <c r="C28" s="17" t="s">
        <v>10</v>
      </c>
      <c r="D28" s="13" t="s">
        <v>164</v>
      </c>
      <c r="E28" s="13" t="s">
        <v>165</v>
      </c>
      <c r="F28" s="13" t="s">
        <v>166</v>
      </c>
      <c r="G28" s="13" t="s">
        <v>167</v>
      </c>
      <c r="H28" s="13" t="s">
        <v>168</v>
      </c>
      <c r="I28" s="15" t="s">
        <v>37</v>
      </c>
    </row>
    <row r="29" spans="1:9" x14ac:dyDescent="0.25">
      <c r="A29" s="12">
        <v>28</v>
      </c>
      <c r="B29" s="13" t="s">
        <v>16</v>
      </c>
      <c r="C29" s="14" t="s">
        <v>8</v>
      </c>
      <c r="D29" s="13" t="s">
        <v>169</v>
      </c>
      <c r="E29" s="13" t="s">
        <v>170</v>
      </c>
      <c r="F29" s="13" t="s">
        <v>171</v>
      </c>
      <c r="G29" s="13" t="s">
        <v>172</v>
      </c>
      <c r="H29" s="13" t="s">
        <v>173</v>
      </c>
      <c r="I29" s="15" t="s">
        <v>37</v>
      </c>
    </row>
    <row r="30" spans="1:9" x14ac:dyDescent="0.25">
      <c r="A30" s="12">
        <v>29</v>
      </c>
      <c r="B30" s="13" t="s">
        <v>16</v>
      </c>
      <c r="C30" s="16" t="s">
        <v>9</v>
      </c>
      <c r="D30" s="13" t="s">
        <v>174</v>
      </c>
      <c r="E30" s="13" t="s">
        <v>175</v>
      </c>
      <c r="F30" s="13" t="s">
        <v>176</v>
      </c>
      <c r="G30" s="13" t="s">
        <v>177</v>
      </c>
      <c r="H30" s="13" t="s">
        <v>178</v>
      </c>
      <c r="I30" s="15" t="s">
        <v>37</v>
      </c>
    </row>
    <row r="31" spans="1:9" x14ac:dyDescent="0.25">
      <c r="A31" s="12">
        <v>30</v>
      </c>
      <c r="B31" s="13" t="s">
        <v>17</v>
      </c>
      <c r="C31" s="14" t="s">
        <v>8</v>
      </c>
      <c r="D31" s="13" t="s">
        <v>179</v>
      </c>
      <c r="E31" s="13" t="s">
        <v>180</v>
      </c>
      <c r="F31" s="13" t="s">
        <v>181</v>
      </c>
      <c r="G31" s="13" t="s">
        <v>182</v>
      </c>
      <c r="H31" s="13" t="s">
        <v>183</v>
      </c>
      <c r="I31" s="15" t="s">
        <v>37</v>
      </c>
    </row>
    <row r="32" spans="1:9" x14ac:dyDescent="0.25">
      <c r="A32" s="12">
        <v>31</v>
      </c>
      <c r="B32" s="13" t="s">
        <v>17</v>
      </c>
      <c r="C32" s="14" t="s">
        <v>8</v>
      </c>
      <c r="D32" s="13" t="s">
        <v>184</v>
      </c>
      <c r="E32" s="13" t="s">
        <v>185</v>
      </c>
      <c r="F32" s="13" t="s">
        <v>186</v>
      </c>
      <c r="G32" s="13" t="s">
        <v>187</v>
      </c>
      <c r="H32" s="13" t="s">
        <v>188</v>
      </c>
      <c r="I32" s="15" t="s">
        <v>37</v>
      </c>
    </row>
    <row r="33" spans="1:9" x14ac:dyDescent="0.25">
      <c r="A33" s="12">
        <v>32</v>
      </c>
      <c r="B33" s="13" t="s">
        <v>17</v>
      </c>
      <c r="C33" s="16" t="s">
        <v>9</v>
      </c>
      <c r="D33" s="13" t="s">
        <v>189</v>
      </c>
      <c r="E33" s="13" t="s">
        <v>190</v>
      </c>
      <c r="F33" s="13" t="s">
        <v>191</v>
      </c>
      <c r="G33" s="13" t="s">
        <v>192</v>
      </c>
      <c r="H33" s="13" t="s">
        <v>193</v>
      </c>
      <c r="I33" s="15" t="s">
        <v>37</v>
      </c>
    </row>
    <row r="34" spans="1:9" x14ac:dyDescent="0.25">
      <c r="A34" s="12">
        <v>33</v>
      </c>
      <c r="B34" s="13" t="s">
        <v>17</v>
      </c>
      <c r="C34" s="16" t="s">
        <v>9</v>
      </c>
      <c r="D34" s="13" t="s">
        <v>194</v>
      </c>
      <c r="E34" s="13" t="s">
        <v>195</v>
      </c>
      <c r="F34" s="13" t="s">
        <v>196</v>
      </c>
      <c r="G34" s="13" t="s">
        <v>197</v>
      </c>
      <c r="H34" s="13" t="s">
        <v>198</v>
      </c>
      <c r="I34" s="15" t="s">
        <v>37</v>
      </c>
    </row>
    <row r="35" spans="1:9" x14ac:dyDescent="0.25">
      <c r="A35" s="12">
        <v>34</v>
      </c>
      <c r="B35" s="13" t="s">
        <v>17</v>
      </c>
      <c r="C35" s="17" t="s">
        <v>10</v>
      </c>
      <c r="D35" s="13" t="s">
        <v>199</v>
      </c>
      <c r="E35" s="13" t="s">
        <v>200</v>
      </c>
      <c r="F35" s="13" t="s">
        <v>201</v>
      </c>
      <c r="G35" s="13" t="s">
        <v>202</v>
      </c>
      <c r="H35" s="13" t="s">
        <v>203</v>
      </c>
      <c r="I35" s="15" t="s">
        <v>37</v>
      </c>
    </row>
    <row r="36" spans="1:9" x14ac:dyDescent="0.25">
      <c r="A36" s="12">
        <v>35</v>
      </c>
      <c r="B36" s="13" t="s">
        <v>18</v>
      </c>
      <c r="C36" s="14" t="s">
        <v>8</v>
      </c>
      <c r="D36" s="13" t="s">
        <v>204</v>
      </c>
      <c r="E36" s="13" t="s">
        <v>205</v>
      </c>
      <c r="F36" s="13" t="s">
        <v>206</v>
      </c>
      <c r="G36" s="13" t="s">
        <v>207</v>
      </c>
      <c r="H36" s="13" t="s">
        <v>208</v>
      </c>
      <c r="I36" s="15" t="s">
        <v>37</v>
      </c>
    </row>
    <row r="37" spans="1:9" x14ac:dyDescent="0.25">
      <c r="A37" s="12">
        <v>36</v>
      </c>
      <c r="B37" s="13" t="s">
        <v>18</v>
      </c>
      <c r="C37" s="16" t="s">
        <v>9</v>
      </c>
      <c r="D37" s="13" t="s">
        <v>209</v>
      </c>
      <c r="E37" s="13" t="s">
        <v>210</v>
      </c>
      <c r="F37" s="13" t="s">
        <v>211</v>
      </c>
      <c r="G37" s="13" t="s">
        <v>212</v>
      </c>
      <c r="H37" s="13" t="s">
        <v>213</v>
      </c>
      <c r="I37" s="15" t="s">
        <v>37</v>
      </c>
    </row>
    <row r="38" spans="1:9" x14ac:dyDescent="0.25">
      <c r="A38" s="12">
        <v>37</v>
      </c>
      <c r="B38" s="13" t="s">
        <v>18</v>
      </c>
      <c r="C38" s="16" t="s">
        <v>9</v>
      </c>
      <c r="D38" s="13" t="s">
        <v>214</v>
      </c>
      <c r="E38" s="13" t="s">
        <v>215</v>
      </c>
      <c r="F38" s="13" t="s">
        <v>216</v>
      </c>
      <c r="G38" s="13" t="s">
        <v>217</v>
      </c>
      <c r="H38" s="13" t="s">
        <v>218</v>
      </c>
      <c r="I38" s="15" t="s">
        <v>37</v>
      </c>
    </row>
    <row r="39" spans="1:9" x14ac:dyDescent="0.25">
      <c r="A39" s="12">
        <v>38</v>
      </c>
      <c r="B39" s="13" t="s">
        <v>18</v>
      </c>
      <c r="C39" s="16" t="s">
        <v>9</v>
      </c>
      <c r="D39" s="13" t="s">
        <v>219</v>
      </c>
      <c r="E39" s="13" t="s">
        <v>220</v>
      </c>
      <c r="F39" s="13" t="s">
        <v>221</v>
      </c>
      <c r="G39" s="13" t="s">
        <v>222</v>
      </c>
      <c r="H39" s="13" t="s">
        <v>223</v>
      </c>
      <c r="I39" s="15" t="s">
        <v>37</v>
      </c>
    </row>
  </sheetData>
  <autoFilter ref="A1:I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36" customWidth="1"/>
    <col min="2" max="5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>
        <f>COUNTA('Relatório de Erros'!A2:A39)</f>
        <v>38</v>
      </c>
    </row>
    <row r="6" spans="1:2" x14ac:dyDescent="0.25">
      <c r="A6" s="4" t="s">
        <v>4</v>
      </c>
      <c r="B6" s="5">
        <f>COUNTIF('Relatório de Erros'!I2:I39,"Corrigido")</f>
        <v>5</v>
      </c>
    </row>
    <row r="7" spans="1:2" x14ac:dyDescent="0.25">
      <c r="A7" s="4" t="s">
        <v>5</v>
      </c>
      <c r="B7" s="5">
        <f>COUNTIF('Relatório de Erros'!I2:I39,"Pendente")</f>
        <v>33</v>
      </c>
    </row>
    <row r="9" spans="1:1" x14ac:dyDescent="0.25">
      <c r="A9" s="3" t="s">
        <v>6</v>
      </c>
    </row>
    <row r="10" spans="1:5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spans="1:5" x14ac:dyDescent="0.25">
      <c r="A11" s="7" t="s">
        <v>12</v>
      </c>
      <c r="B11" s="8">
        <f>COUNTIFS('Relatório de Erros'!B2:B39,"Interatividade",'Relatório de Erros'!C2:C39,"Alta")</f>
        <v>2</v>
      </c>
      <c r="C11" s="8">
        <f>COUNTIFS('Relatório de Erros'!B2:B39,"Interatividade",'Relatório de Erros'!C2:C39,"Média")</f>
        <v>4</v>
      </c>
      <c r="D11" s="8">
        <f>COUNTIFS('Relatório de Erros'!B2:B39,"Interatividade",'Relatório de Erros'!C2:C39,"Baixa")</f>
        <v>1</v>
      </c>
      <c r="E11" s="9">
        <f>SUM(B11:D11)</f>
        <v>7</v>
      </c>
    </row>
    <row r="12" spans="1:5" x14ac:dyDescent="0.25">
      <c r="A12" s="7" t="s">
        <v>13</v>
      </c>
      <c r="B12" s="8">
        <f>COUNTIFS('Relatório de Erros'!B2:B39,"Duplicidade",'Relatório de Erros'!C2:C39,"Alta")</f>
        <v>2</v>
      </c>
      <c r="C12" s="8">
        <f>COUNTIFS('Relatório de Erros'!B2:B39,"Duplicidade",'Relatório de Erros'!C2:C39,"Média")</f>
        <v>3</v>
      </c>
      <c r="D12" s="8">
        <f>COUNTIFS('Relatório de Erros'!B2:B39,"Duplicidade",'Relatório de Erros'!C2:C39,"Baixa")</f>
        <v>1</v>
      </c>
      <c r="E12" s="9">
        <f>SUM(B12:D12)</f>
        <v>6</v>
      </c>
    </row>
    <row r="13" spans="1:5" x14ac:dyDescent="0.25">
      <c r="A13" s="7" t="s">
        <v>14</v>
      </c>
      <c r="B13" s="8">
        <f>COUNTIFS('Relatório de Erros'!B2:B39,"Inconsistência",'Relatório de Erros'!C2:C39,"Alta")</f>
        <v>1</v>
      </c>
      <c r="C13" s="8">
        <f>COUNTIFS('Relatório de Erros'!B2:B39,"Inconsistência",'Relatório de Erros'!C2:C39,"Média")</f>
        <v>3</v>
      </c>
      <c r="D13" s="8">
        <f>COUNTIFS('Relatório de Erros'!B2:B39,"Inconsistência",'Relatório de Erros'!C2:C39,"Baixa")</f>
        <v>2</v>
      </c>
      <c r="E13" s="9">
        <f>SUM(B13:D13)</f>
        <v>6</v>
      </c>
    </row>
    <row r="14" spans="1:5" x14ac:dyDescent="0.25">
      <c r="A14" s="7" t="s">
        <v>15</v>
      </c>
      <c r="B14" s="8">
        <f>COUNTIFS('Relatório de Erros'!B2:B39,"Layout",'Relatório de Erros'!C2:C39,"Alta")</f>
        <v>3</v>
      </c>
      <c r="C14" s="8">
        <f>COUNTIFS('Relatório de Erros'!B2:B39,"Layout",'Relatório de Erros'!C2:C39,"Média")</f>
        <v>4</v>
      </c>
      <c r="D14" s="8">
        <f>COUNTIFS('Relatório de Erros'!B2:B39,"Layout",'Relatório de Erros'!C2:C39,"Baixa")</f>
        <v>1</v>
      </c>
      <c r="E14" s="9">
        <f>SUM(B14:D14)</f>
        <v>8</v>
      </c>
    </row>
    <row r="15" spans="1:5" x14ac:dyDescent="0.25">
      <c r="A15" s="7" t="s">
        <v>16</v>
      </c>
      <c r="B15" s="8">
        <f>COUNTIFS('Relatório de Erros'!B2:B39,"Sintaxe",'Relatório de Erros'!C2:C39,"Alta")</f>
        <v>1</v>
      </c>
      <c r="C15" s="8">
        <f>COUNTIFS('Relatório de Erros'!B2:B39,"Sintaxe",'Relatório de Erros'!C2:C39,"Média")</f>
        <v>1</v>
      </c>
      <c r="D15" s="8">
        <f>COUNTIFS('Relatório de Erros'!B2:B39,"Sintaxe",'Relatório de Erros'!C2:C39,"Baixa")</f>
        <v>0</v>
      </c>
      <c r="E15" s="9">
        <f>SUM(B15:D15)</f>
        <v>2</v>
      </c>
    </row>
    <row r="16" spans="1:5" x14ac:dyDescent="0.25">
      <c r="A16" s="7" t="s">
        <v>17</v>
      </c>
      <c r="B16" s="8">
        <f>COUNTIFS('Relatório de Erros'!B2:B39,"Segurança",'Relatório de Erros'!C2:C39,"Alta")</f>
        <v>2</v>
      </c>
      <c r="C16" s="8">
        <f>COUNTIFS('Relatório de Erros'!B2:B39,"Segurança",'Relatório de Erros'!C2:C39,"Média")</f>
        <v>2</v>
      </c>
      <c r="D16" s="8">
        <f>COUNTIFS('Relatório de Erros'!B2:B39,"Segurança",'Relatório de Erros'!C2:C39,"Baixa")</f>
        <v>1</v>
      </c>
      <c r="E16" s="9">
        <f>SUM(B16:D16)</f>
        <v>5</v>
      </c>
    </row>
    <row r="17" spans="1:5" x14ac:dyDescent="0.25">
      <c r="A17" s="7" t="s">
        <v>18</v>
      </c>
      <c r="B17" s="8">
        <f>COUNTIFS('Relatório de Erros'!B2:B39,"Regras de Negócio",'Relatório de Erros'!C2:C39,"Alta")</f>
        <v>1</v>
      </c>
      <c r="C17" s="8">
        <f>COUNTIFS('Relatório de Erros'!B2:B39,"Regras de Negócio",'Relatório de Erros'!C2:C39,"Média")</f>
        <v>3</v>
      </c>
      <c r="D17" s="8">
        <f>COUNTIFS('Relatório de Erros'!B2:B39,"Regras de Negócio",'Relatório de Erros'!C2:C39,"Baixa")</f>
        <v>0</v>
      </c>
      <c r="E17" s="9">
        <f>SUM(B17:D17)</f>
        <v>4</v>
      </c>
    </row>
    <row r="18" spans="1:5" x14ac:dyDescent="0.25">
      <c r="A18" s="10" t="s">
        <v>11</v>
      </c>
      <c r="B18" s="9">
        <f>SUM(B11:B17)</f>
        <v>12</v>
      </c>
      <c r="C18" s="9">
        <f>SUM(C11:C17)</f>
        <v>20</v>
      </c>
      <c r="D18" s="9">
        <f>SUM(D11:D17)</f>
        <v>6</v>
      </c>
      <c r="E18" s="9">
        <f>SUM(E11:E17)</f>
        <v>38</v>
      </c>
    </row>
    <row r="20" spans="1:1" x14ac:dyDescent="0.25">
      <c r="A20" s="3" t="s">
        <v>19</v>
      </c>
    </row>
    <row r="21" spans="1:1" x14ac:dyDescent="0.25">
      <c r="A21" s="4" t="s">
        <v>20</v>
      </c>
    </row>
    <row r="22" spans="1:1" x14ac:dyDescent="0.25">
      <c r="A22" s="4" t="s">
        <v>21</v>
      </c>
    </row>
    <row r="23" spans="1:1" x14ac:dyDescent="0.25">
      <c r="A23" s="4" t="s">
        <v>22</v>
      </c>
    </row>
    <row r="24" spans="1:1" x14ac:dyDescent="0.25">
      <c r="A24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44" customWidth="1"/>
    <col min="4" max="4" width="28" customWidth="1"/>
    <col min="5" max="5" width="58" customWidth="1"/>
  </cols>
  <sheetData>
    <row r="1" spans="1:5" x14ac:dyDescent="0.25">
      <c r="A1" s="11" t="s">
        <v>224</v>
      </c>
      <c r="B1" s="11" t="s">
        <v>225</v>
      </c>
      <c r="C1" s="11" t="s">
        <v>226</v>
      </c>
      <c r="D1" s="11" t="s">
        <v>227</v>
      </c>
      <c r="E1" s="11" t="s">
        <v>228</v>
      </c>
    </row>
    <row r="2" spans="1:5" x14ac:dyDescent="0.25">
      <c r="A2" s="13" t="s">
        <v>68</v>
      </c>
      <c r="B2" s="13" t="s">
        <v>229</v>
      </c>
      <c r="C2" s="13" t="s">
        <v>230</v>
      </c>
      <c r="D2" s="19" t="s">
        <v>231</v>
      </c>
      <c r="E2" s="13" t="s">
        <v>232</v>
      </c>
    </row>
    <row r="3" spans="1:5" x14ac:dyDescent="0.25">
      <c r="A3" s="13" t="s">
        <v>233</v>
      </c>
      <c r="B3" s="13" t="s">
        <v>234</v>
      </c>
      <c r="C3" s="13" t="s">
        <v>235</v>
      </c>
      <c r="D3" s="13" t="s">
        <v>236</v>
      </c>
      <c r="E3" s="13" t="s">
        <v>237</v>
      </c>
    </row>
    <row r="4" spans="1:5" x14ac:dyDescent="0.25">
      <c r="A4" s="13" t="s">
        <v>238</v>
      </c>
      <c r="B4" s="13" t="s">
        <v>239</v>
      </c>
      <c r="C4" s="13" t="s">
        <v>240</v>
      </c>
      <c r="D4" s="13" t="s">
        <v>236</v>
      </c>
      <c r="E4" s="13" t="s">
        <v>237</v>
      </c>
    </row>
    <row r="5" spans="1:5" x14ac:dyDescent="0.25">
      <c r="A5" s="13" t="s">
        <v>241</v>
      </c>
      <c r="B5" s="13" t="s">
        <v>242</v>
      </c>
      <c r="C5" s="13" t="s">
        <v>243</v>
      </c>
      <c r="D5" s="19" t="s">
        <v>231</v>
      </c>
      <c r="E5" s="13" t="s">
        <v>244</v>
      </c>
    </row>
    <row r="6" spans="1:5" x14ac:dyDescent="0.25">
      <c r="A6" s="13" t="s">
        <v>245</v>
      </c>
      <c r="B6" s="13" t="s">
        <v>246</v>
      </c>
      <c r="C6" s="13" t="s">
        <v>247</v>
      </c>
      <c r="D6" s="13" t="s">
        <v>236</v>
      </c>
      <c r="E6" s="13" t="s">
        <v>248</v>
      </c>
    </row>
    <row r="7" spans="1:5" x14ac:dyDescent="0.25">
      <c r="A7" s="13" t="s">
        <v>249</v>
      </c>
      <c r="B7" s="13" t="s">
        <v>250</v>
      </c>
      <c r="C7" s="13" t="s">
        <v>251</v>
      </c>
      <c r="D7" s="19" t="s">
        <v>252</v>
      </c>
      <c r="E7" s="13" t="s">
        <v>253</v>
      </c>
    </row>
    <row r="8" spans="1:5" x14ac:dyDescent="0.25">
      <c r="A8" s="13" t="s">
        <v>254</v>
      </c>
      <c r="B8" s="13" t="s">
        <v>255</v>
      </c>
      <c r="C8" s="13" t="s">
        <v>256</v>
      </c>
      <c r="D8" s="19" t="s">
        <v>231</v>
      </c>
      <c r="E8" s="13" t="s">
        <v>237</v>
      </c>
    </row>
    <row r="9" spans="1:5" x14ac:dyDescent="0.25">
      <c r="A9" s="13" t="s">
        <v>257</v>
      </c>
      <c r="B9" s="13" t="s">
        <v>258</v>
      </c>
      <c r="C9" s="13" t="s">
        <v>259</v>
      </c>
      <c r="D9" s="13" t="s">
        <v>236</v>
      </c>
      <c r="E9" s="13" t="s">
        <v>237</v>
      </c>
    </row>
    <row r="10" spans="1:5" x14ac:dyDescent="0.25">
      <c r="A10" s="13" t="s">
        <v>260</v>
      </c>
      <c r="B10" s="13" t="s">
        <v>261</v>
      </c>
      <c r="C10" s="13" t="s">
        <v>262</v>
      </c>
      <c r="D10" s="13" t="s">
        <v>236</v>
      </c>
      <c r="E10" s="13" t="s">
        <v>237</v>
      </c>
    </row>
    <row r="11" spans="1:5" x14ac:dyDescent="0.25">
      <c r="A11" s="13" t="s">
        <v>263</v>
      </c>
      <c r="B11" s="13" t="s">
        <v>264</v>
      </c>
      <c r="C11" s="13" t="s">
        <v>265</v>
      </c>
      <c r="D11" s="13" t="s">
        <v>236</v>
      </c>
      <c r="E11" s="13" t="s">
        <v>266</v>
      </c>
    </row>
    <row r="12" spans="1:5" x14ac:dyDescent="0.25">
      <c r="A12" s="13" t="s">
        <v>267</v>
      </c>
      <c r="B12" s="13" t="s">
        <v>268</v>
      </c>
      <c r="C12" s="13" t="s">
        <v>269</v>
      </c>
      <c r="D12" s="13" t="s">
        <v>236</v>
      </c>
      <c r="E12" s="13" t="s">
        <v>237</v>
      </c>
    </row>
    <row r="13" spans="1:5" x14ac:dyDescent="0.25">
      <c r="A13" s="13" t="s">
        <v>154</v>
      </c>
      <c r="B13" s="13" t="s">
        <v>270</v>
      </c>
      <c r="C13" s="13" t="s">
        <v>271</v>
      </c>
      <c r="D13" s="13" t="s">
        <v>236</v>
      </c>
      <c r="E13" s="13" t="s">
        <v>272</v>
      </c>
    </row>
    <row r="14" spans="1:5" x14ac:dyDescent="0.25">
      <c r="A14" s="13" t="s">
        <v>273</v>
      </c>
      <c r="B14" s="13" t="s">
        <v>274</v>
      </c>
      <c r="C14" s="13" t="s">
        <v>275</v>
      </c>
      <c r="D14" s="13" t="s">
        <v>236</v>
      </c>
      <c r="E14" s="13" t="s">
        <v>237</v>
      </c>
    </row>
    <row r="15" spans="1:5" x14ac:dyDescent="0.25">
      <c r="A15" s="13" t="s">
        <v>276</v>
      </c>
      <c r="B15" s="13" t="s">
        <v>277</v>
      </c>
      <c r="C15" s="13" t="s">
        <v>278</v>
      </c>
      <c r="D15" s="13" t="s">
        <v>236</v>
      </c>
      <c r="E15" s="13" t="s">
        <v>279</v>
      </c>
    </row>
    <row r="16" spans="1:5" x14ac:dyDescent="0.25">
      <c r="A16" s="13" t="s">
        <v>280</v>
      </c>
      <c r="B16" s="13" t="s">
        <v>281</v>
      </c>
      <c r="C16" s="13" t="s">
        <v>282</v>
      </c>
      <c r="D16" s="19" t="s">
        <v>283</v>
      </c>
      <c r="E16" s="13" t="s">
        <v>284</v>
      </c>
    </row>
    <row r="17" spans="1:5" x14ac:dyDescent="0.25">
      <c r="A17" s="13" t="s">
        <v>285</v>
      </c>
      <c r="B17" s="13" t="s">
        <v>286</v>
      </c>
      <c r="C17" s="13" t="s">
        <v>287</v>
      </c>
      <c r="D17" s="13" t="s">
        <v>236</v>
      </c>
      <c r="E17" s="13" t="s">
        <v>237</v>
      </c>
    </row>
    <row r="18" spans="1:5" x14ac:dyDescent="0.25">
      <c r="A18" s="13" t="s">
        <v>288</v>
      </c>
      <c r="B18" s="13" t="s">
        <v>289</v>
      </c>
      <c r="C18" s="13" t="s">
        <v>290</v>
      </c>
      <c r="D18" s="13" t="s">
        <v>236</v>
      </c>
      <c r="E18" s="13" t="s">
        <v>237</v>
      </c>
    </row>
    <row r="19" spans="1:5" x14ac:dyDescent="0.25">
      <c r="A19" s="13" t="s">
        <v>291</v>
      </c>
      <c r="B19" s="13" t="s">
        <v>292</v>
      </c>
      <c r="C19" s="13" t="s">
        <v>293</v>
      </c>
      <c r="D19" s="13" t="s">
        <v>236</v>
      </c>
      <c r="E19" s="13" t="s">
        <v>237</v>
      </c>
    </row>
    <row r="20" spans="1:5" x14ac:dyDescent="0.25">
      <c r="A20" s="13" t="s">
        <v>294</v>
      </c>
      <c r="B20" s="13" t="s">
        <v>295</v>
      </c>
      <c r="C20" s="13" t="s">
        <v>296</v>
      </c>
      <c r="D20" s="13" t="s">
        <v>236</v>
      </c>
      <c r="E20" s="13" t="s">
        <v>297</v>
      </c>
    </row>
    <row r="21" spans="1:5" x14ac:dyDescent="0.25">
      <c r="A21" s="13" t="s">
        <v>298</v>
      </c>
      <c r="B21" s="13" t="s">
        <v>299</v>
      </c>
      <c r="C21" s="13" t="s">
        <v>300</v>
      </c>
      <c r="D21" s="13" t="s">
        <v>236</v>
      </c>
      <c r="E21" s="13" t="s">
        <v>301</v>
      </c>
    </row>
    <row r="22" spans="1:5" x14ac:dyDescent="0.25">
      <c r="A22" s="13" t="s">
        <v>302</v>
      </c>
      <c r="B22" s="13" t="s">
        <v>303</v>
      </c>
      <c r="C22" s="13" t="s">
        <v>304</v>
      </c>
      <c r="D22" s="19" t="s">
        <v>231</v>
      </c>
      <c r="E22" s="13" t="s">
        <v>305</v>
      </c>
    </row>
    <row r="23" spans="1:5" x14ac:dyDescent="0.25">
      <c r="A23" s="13" t="s">
        <v>306</v>
      </c>
      <c r="B23" s="13" t="s">
        <v>307</v>
      </c>
      <c r="C23" s="13" t="s">
        <v>308</v>
      </c>
      <c r="D23" s="20" t="s">
        <v>309</v>
      </c>
      <c r="E23" s="13" t="s">
        <v>310</v>
      </c>
    </row>
  </sheetData>
  <autoFilter ref="A1:E2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Relatório de Erros</vt:lpstr>
      <vt:lpstr>Módulos do Sistema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Análise UI/UX</dc:creator>
  <dc:title/>
  <dc:subject/>
  <dc:description/>
  <cp:keywords/>
  <cp:category/>
  <cp:lastModifiedBy>Unknown</cp:lastModifiedBy>
  <dcterms:created xsi:type="dcterms:W3CDTF">2026-07-09T19:00:07Z</dcterms:created>
  <dcterms:modified xsi:type="dcterms:W3CDTF">2026-07-09T19:00:07Z</dcterms:modified>
</cp:coreProperties>
</file>